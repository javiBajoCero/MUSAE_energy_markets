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cea\Documents\GitHub\MUSAE\MUSAE_energy_markets\T2\"/>
    </mc:Choice>
  </mc:AlternateContent>
  <xr:revisionPtr revIDLastSave="0" documentId="8_{8564A8A5-4CE6-4A2F-89D2-9B0F6E5E224B}" xr6:coauthVersionLast="47" xr6:coauthVersionMax="47" xr10:uidLastSave="{00000000-0000-0000-0000-000000000000}"/>
  <bookViews>
    <workbookView xWindow="-108" yWindow="-108" windowWidth="23256" windowHeight="13896" xr2:uid="{5E0D05FF-0CC6-4F99-9081-4768D4751071}"/>
  </bookViews>
  <sheets>
    <sheet name="Sheet1" sheetId="1" r:id="rId1"/>
  </sheets>
  <definedNames>
    <definedName name="_xlchart.v1.0" hidden="1">Sheet1!$C$31:$C$35</definedName>
    <definedName name="_xlchart.v1.1" hidden="1">Sheet1!$D$30</definedName>
    <definedName name="_xlchart.v1.2" hidden="1">Sheet1!$D$31:$D$35</definedName>
    <definedName name="_xlchart.v1.3" hidden="1">Sheet1!$E$30</definedName>
    <definedName name="_xlchart.v1.4" hidden="1">Sheet1!$E$31:$E$35</definedName>
    <definedName name="_xlchart.v1.5" hidden="1">Sheet1!$F$30</definedName>
    <definedName name="_xlchart.v1.6" hidden="1">Sheet1!$F$31:$F$35</definedName>
    <definedName name="_xlchart.v1.7" hidden="1">Sheet1!$G$30</definedName>
    <definedName name="_xlchart.v1.8" hidden="1">Sheet1!$G$31:$G$35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9" i="1" l="1"/>
  <c r="AL39" i="1"/>
  <c r="AM39" i="1"/>
  <c r="AN39" i="1"/>
  <c r="AO39" i="1"/>
  <c r="AK40" i="1"/>
  <c r="AL40" i="1"/>
  <c r="AM40" i="1"/>
  <c r="AN40" i="1"/>
  <c r="AO40" i="1"/>
  <c r="AK41" i="1"/>
  <c r="AL41" i="1"/>
  <c r="AM41" i="1"/>
  <c r="AN41" i="1"/>
  <c r="AO41" i="1"/>
  <c r="AK42" i="1"/>
  <c r="AL42" i="1"/>
  <c r="AM42" i="1"/>
  <c r="AN42" i="1"/>
  <c r="AO42" i="1"/>
  <c r="AL38" i="1"/>
  <c r="AM38" i="1"/>
  <c r="AN38" i="1"/>
  <c r="AO38" i="1"/>
  <c r="AK38" i="1"/>
  <c r="AL37" i="1"/>
  <c r="AM37" i="1"/>
  <c r="AN37" i="1"/>
  <c r="AO37" i="1"/>
  <c r="AK37" i="1"/>
  <c r="AJ39" i="1"/>
  <c r="AJ40" i="1"/>
  <c r="AJ41" i="1"/>
  <c r="AJ42" i="1"/>
  <c r="AJ38" i="1"/>
  <c r="AL23" i="1"/>
  <c r="AM23" i="1"/>
  <c r="AN23" i="1"/>
  <c r="AO23" i="1"/>
  <c r="AK23" i="1"/>
  <c r="AO22" i="1"/>
  <c r="AN22" i="1"/>
  <c r="AL22" i="1"/>
  <c r="AM22" i="1"/>
  <c r="AK22" i="1"/>
  <c r="AJ22" i="1"/>
  <c r="AJ23" i="1"/>
  <c r="AJ24" i="1"/>
  <c r="AJ25" i="1"/>
  <c r="AJ21" i="1"/>
  <c r="AB39" i="1"/>
  <c r="AD39" i="1"/>
  <c r="AE39" i="1"/>
  <c r="AF39" i="1"/>
  <c r="AB40" i="1"/>
  <c r="AD40" i="1"/>
  <c r="AE40" i="1"/>
  <c r="AF40" i="1"/>
  <c r="AB41" i="1"/>
  <c r="AD41" i="1"/>
  <c r="AE41" i="1"/>
  <c r="AF41" i="1"/>
  <c r="AB42" i="1"/>
  <c r="AD42" i="1"/>
  <c r="AE42" i="1"/>
  <c r="AF42" i="1"/>
  <c r="AB43" i="1"/>
  <c r="AD43" i="1"/>
  <c r="AE43" i="1"/>
  <c r="AF43" i="1"/>
  <c r="AC38" i="1"/>
  <c r="AD38" i="1"/>
  <c r="AE38" i="1"/>
  <c r="AF38" i="1"/>
  <c r="AB38" i="1"/>
  <c r="AC37" i="1"/>
  <c r="AD37" i="1"/>
  <c r="AE37" i="1"/>
  <c r="AF37" i="1"/>
  <c r="AG37" i="1"/>
  <c r="AB37" i="1"/>
  <c r="AA39" i="1"/>
  <c r="AA40" i="1"/>
  <c r="AA41" i="1"/>
  <c r="AA42" i="1"/>
  <c r="AA43" i="1"/>
  <c r="AA38" i="1"/>
  <c r="AD35" i="1"/>
  <c r="AD34" i="1"/>
  <c r="AB35" i="1"/>
  <c r="AB34" i="1"/>
  <c r="AB29" i="1"/>
  <c r="AC29" i="1"/>
  <c r="AD29" i="1"/>
  <c r="AE29" i="1"/>
  <c r="AF29" i="1"/>
  <c r="AG29" i="1"/>
  <c r="AB30" i="1"/>
  <c r="AC30" i="1"/>
  <c r="AD30" i="1"/>
  <c r="AE30" i="1"/>
  <c r="AF30" i="1"/>
  <c r="AB31" i="1"/>
  <c r="AC31" i="1"/>
  <c r="AD31" i="1"/>
  <c r="AE31" i="1"/>
  <c r="AF31" i="1"/>
  <c r="AB32" i="1"/>
  <c r="AC32" i="1"/>
  <c r="AD32" i="1"/>
  <c r="AE32" i="1"/>
  <c r="AF32" i="1"/>
  <c r="AB33" i="1"/>
  <c r="AC33" i="1"/>
  <c r="AD33" i="1"/>
  <c r="AE33" i="1"/>
  <c r="AF33" i="1"/>
  <c r="AC34" i="1"/>
  <c r="AE34" i="1"/>
  <c r="AF34" i="1"/>
  <c r="AC35" i="1"/>
  <c r="AE35" i="1"/>
  <c r="AF35" i="1"/>
  <c r="AA35" i="1"/>
  <c r="AA30" i="1"/>
  <c r="AA31" i="1"/>
  <c r="AA32" i="1"/>
  <c r="AA33" i="1"/>
  <c r="AA34" i="1"/>
  <c r="AA22" i="1"/>
  <c r="AA23" i="1"/>
  <c r="AA24" i="1"/>
  <c r="AA25" i="1"/>
  <c r="AA26" i="1"/>
  <c r="AA20" i="1"/>
  <c r="V31" i="1"/>
  <c r="W31" i="1"/>
  <c r="X31" i="1"/>
  <c r="V32" i="1"/>
  <c r="W32" i="1"/>
  <c r="X32" i="1"/>
  <c r="V33" i="1"/>
  <c r="W33" i="1"/>
  <c r="X33" i="1"/>
  <c r="V34" i="1"/>
  <c r="W34" i="1"/>
  <c r="X34" i="1"/>
  <c r="X30" i="1"/>
  <c r="W30" i="1"/>
  <c r="V30" i="1"/>
  <c r="W29" i="1"/>
  <c r="X29" i="1"/>
  <c r="V29" i="1"/>
  <c r="U31" i="1"/>
  <c r="U32" i="1"/>
  <c r="U33" i="1"/>
  <c r="U34" i="1"/>
  <c r="U30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J31" i="1"/>
  <c r="K31" i="1"/>
  <c r="L31" i="1"/>
  <c r="I31" i="1"/>
  <c r="H32" i="1"/>
  <c r="H33" i="1"/>
  <c r="H34" i="1"/>
  <c r="H35" i="1"/>
  <c r="H31" i="1"/>
  <c r="J30" i="1"/>
  <c r="K30" i="1"/>
  <c r="L30" i="1"/>
  <c r="I30" i="1"/>
  <c r="D31" i="1"/>
  <c r="K51" i="1"/>
  <c r="K50" i="1"/>
  <c r="K49" i="1"/>
  <c r="K48" i="1"/>
  <c r="K47" i="1"/>
  <c r="K46" i="1"/>
  <c r="J50" i="1"/>
  <c r="J51" i="1"/>
  <c r="J49" i="1"/>
  <c r="J48" i="1"/>
  <c r="J47" i="1"/>
  <c r="J46" i="1"/>
  <c r="I51" i="1"/>
  <c r="I50" i="1"/>
  <c r="I49" i="1"/>
  <c r="I48" i="1"/>
  <c r="I47" i="1"/>
  <c r="I46" i="1"/>
  <c r="H51" i="1"/>
  <c r="H50" i="1"/>
  <c r="H49" i="1"/>
  <c r="H48" i="1"/>
  <c r="H47" i="1"/>
  <c r="H46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47" i="1"/>
  <c r="D33" i="1"/>
  <c r="E33" i="1"/>
  <c r="F33" i="1"/>
  <c r="G33" i="1"/>
  <c r="D32" i="1"/>
  <c r="E32" i="1"/>
  <c r="F32" i="1"/>
  <c r="G32" i="1"/>
  <c r="E31" i="1"/>
  <c r="F31" i="1"/>
  <c r="G31" i="1"/>
  <c r="C31" i="1"/>
  <c r="C32" i="1"/>
  <c r="C33" i="1"/>
  <c r="C34" i="1"/>
  <c r="C35" i="1"/>
  <c r="G30" i="1"/>
  <c r="D30" i="1"/>
  <c r="E30" i="1"/>
  <c r="F30" i="1"/>
</calcChain>
</file>

<file path=xl/sharedStrings.xml><?xml version="1.0" encoding="utf-8"?>
<sst xmlns="http://schemas.openxmlformats.org/spreadsheetml/2006/main" count="87" uniqueCount="41">
  <si>
    <t xml:space="preserve">t1    </t>
  </si>
  <si>
    <t>bus1</t>
  </si>
  <si>
    <t>bus2</t>
  </si>
  <si>
    <t>bus3</t>
  </si>
  <si>
    <t>bus4</t>
  </si>
  <si>
    <t xml:space="preserve">t2      </t>
  </si>
  <si>
    <t xml:space="preserve">t3      </t>
  </si>
  <si>
    <t xml:space="preserve">t4      </t>
  </si>
  <si>
    <t xml:space="preserve">t5      </t>
  </si>
  <si>
    <t>Market equilibrium at bus</t>
  </si>
  <si>
    <t>Market equilibrium at bus WPP</t>
  </si>
  <si>
    <t xml:space="preserve">nodal SW </t>
  </si>
  <si>
    <t>t1</t>
  </si>
  <si>
    <t>t2</t>
  </si>
  <si>
    <t>t3</t>
  </si>
  <si>
    <t>t4</t>
  </si>
  <si>
    <t>t5</t>
  </si>
  <si>
    <t>WPP</t>
  </si>
  <si>
    <t>difference</t>
  </si>
  <si>
    <t>total matched demand</t>
  </si>
  <si>
    <t>d1</t>
  </si>
  <si>
    <t>d2</t>
  </si>
  <si>
    <t>d3</t>
  </si>
  <si>
    <t xml:space="preserve">t1       </t>
  </si>
  <si>
    <t xml:space="preserve">t2       </t>
  </si>
  <si>
    <t>total matched demand wpp</t>
  </si>
  <si>
    <t>total matched generation</t>
  </si>
  <si>
    <t>g1</t>
  </si>
  <si>
    <t>g2</t>
  </si>
  <si>
    <t>g3</t>
  </si>
  <si>
    <t>g4</t>
  </si>
  <si>
    <t>g5</t>
  </si>
  <si>
    <t>g6</t>
  </si>
  <si>
    <t>t0</t>
  </si>
  <si>
    <t>total matched generation wpp</t>
  </si>
  <si>
    <t>L1-3</t>
  </si>
  <si>
    <t>L1-2</t>
  </si>
  <si>
    <t>L2-3</t>
  </si>
  <si>
    <t>L2-4</t>
  </si>
  <si>
    <t>L3-4</t>
  </si>
  <si>
    <t>with wpp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</si>
</sst>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of nodal</a:t>
            </a:r>
            <a:r>
              <a:rPr lang="en-US" baseline="0"/>
              <a:t> SW*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Sheet1!$H$46</c:f>
              <c:strCache>
                <c:ptCount val="1"/>
                <c:pt idx="0">
                  <c:v>bus1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Sheet1!$G$47:$G$51</c:f>
              <c:strCache>
                <c:ptCount val="5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</c:strCache>
            </c:strRef>
          </c:cat>
          <c:val>
            <c:numRef>
              <c:f>Sheet1!$H$47:$H$51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-0.19830927723178093</c:v>
                </c:pt>
                <c:pt idx="4">
                  <c:v>1.7098458608052924E-2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0-48C4-BA2A-A75627D9A87D}"/>
            </c:ext>
          </c:extLst>
        </c:ser>
        <c:ser>
          <c:idx val="1"/>
          <c:order val="1"/>
          <c:tx>
            <c:strRef>
              <c:f>Sheet1!$I$46</c:f>
              <c:strCache>
                <c:ptCount val="1"/>
                <c:pt idx="0">
                  <c:v>bus2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Sheet1!$G$47:$G$51</c:f>
              <c:strCache>
                <c:ptCount val="5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</c:strCache>
            </c:strRef>
          </c:cat>
          <c:val>
            <c:numRef>
              <c:f>Sheet1!$I$47:$I$51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-0.27146575969147813</c:v>
                </c:pt>
                <c:pt idx="4">
                  <c:v>-1.9195057990741948E-2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0-48C4-BA2A-A75627D9A87D}"/>
            </c:ext>
          </c:extLst>
        </c:ser>
        <c:ser>
          <c:idx val="2"/>
          <c:order val="2"/>
          <c:tx>
            <c:strRef>
              <c:f>Sheet1!$J$46</c:f>
              <c:strCache>
                <c:ptCount val="1"/>
                <c:pt idx="0">
                  <c:v>bus3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Sheet1!$G$47:$G$51</c:f>
              <c:strCache>
                <c:ptCount val="5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</c:strCache>
            </c:strRef>
          </c:cat>
          <c:val>
            <c:numRef>
              <c:f>Sheet1!$J$47:$J$51</c:f>
              <c:numCache>
                <c:formatCode>0%</c:formatCode>
                <c:ptCount val="5"/>
                <c:pt idx="0">
                  <c:v>2.6119402985074647E-2</c:v>
                </c:pt>
                <c:pt idx="1">
                  <c:v>6.5298507462686617E-2</c:v>
                </c:pt>
                <c:pt idx="2">
                  <c:v>0.1628555679901118</c:v>
                </c:pt>
                <c:pt idx="3">
                  <c:v>8.9248469663630869E-2</c:v>
                </c:pt>
                <c:pt idx="4">
                  <c:v>3.3296808054401383E-2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0-48C4-BA2A-A75627D9A87D}"/>
            </c:ext>
          </c:extLst>
        </c:ser>
        <c:ser>
          <c:idx val="3"/>
          <c:order val="3"/>
          <c:tx>
            <c:strRef>
              <c:f>Sheet1!$K$46</c:f>
              <c:strCache>
                <c:ptCount val="1"/>
                <c:pt idx="0">
                  <c:v>bus4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Sheet1!$G$47:$G$51</c:f>
              <c:strCache>
                <c:ptCount val="5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</c:strCache>
            </c:strRef>
          </c:cat>
          <c:val>
            <c:numRef>
              <c:f>Sheet1!$K$47:$K$51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-8.3124193627350351E-2</c:v>
                </c:pt>
                <c:pt idx="4">
                  <c:v>2.224148415731042E-2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0-48C4-BA2A-A75627D9A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3589919"/>
        <c:axId val="1263599903"/>
        <c:axId val="0"/>
      </c:bar3DChart>
      <c:catAx>
        <c:axId val="12635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99903"/>
        <c:crosses val="autoZero"/>
        <c:auto val="1"/>
        <c:lblAlgn val="ctr"/>
        <c:lblOffset val="100"/>
        <c:noMultiLvlLbl val="0"/>
      </c:catAx>
      <c:valAx>
        <c:axId val="12635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8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of nodal price clearing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Sheet1!$I$30</c:f>
              <c:strCache>
                <c:ptCount val="1"/>
                <c:pt idx="0">
                  <c:v>bus1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Sheet1!$H$31:$H$35</c:f>
              <c:strCache>
                <c:ptCount val="5"/>
                <c:pt idx="0">
                  <c:v>t1    </c:v>
                </c:pt>
                <c:pt idx="1">
                  <c:v>t2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Sheet1!$I$31:$I$35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8.6999999999999966E-2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B-4466-AAB4-1F30526DB494}"/>
            </c:ext>
          </c:extLst>
        </c:ser>
        <c:ser>
          <c:idx val="1"/>
          <c:order val="1"/>
          <c:tx>
            <c:strRef>
              <c:f>Sheet1!$J$30</c:f>
              <c:strCache>
                <c:ptCount val="1"/>
                <c:pt idx="0">
                  <c:v>bus2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Sheet1!$H$31:$H$35</c:f>
              <c:strCache>
                <c:ptCount val="5"/>
                <c:pt idx="0">
                  <c:v>t1    </c:v>
                </c:pt>
                <c:pt idx="1">
                  <c:v>t2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Sheet1!$J$31:$J$35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-2.1477734472178489E-2</c:v>
                </c:pt>
                <c:pt idx="4">
                  <c:v>2.244172948617984E-2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B-4466-AAB4-1F30526DB494}"/>
            </c:ext>
          </c:extLst>
        </c:ser>
        <c:ser>
          <c:idx val="2"/>
          <c:order val="2"/>
          <c:tx>
            <c:strRef>
              <c:f>Sheet1!$K$30</c:f>
              <c:strCache>
                <c:ptCount val="1"/>
                <c:pt idx="0">
                  <c:v>bus3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Sheet1!$H$31:$H$35</c:f>
              <c:strCache>
                <c:ptCount val="5"/>
                <c:pt idx="0">
                  <c:v>t1    </c:v>
                </c:pt>
                <c:pt idx="1">
                  <c:v>t2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Sheet1!$K$31:$K$35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-2.8532442896287091E-2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B-4466-AAB4-1F30526DB494}"/>
            </c:ext>
          </c:extLst>
        </c:ser>
        <c:ser>
          <c:idx val="3"/>
          <c:order val="3"/>
          <c:tx>
            <c:strRef>
              <c:f>Sheet1!$L$30</c:f>
              <c:strCache>
                <c:ptCount val="1"/>
                <c:pt idx="0">
                  <c:v>bus4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Sheet1!$H$31:$H$35</c:f>
              <c:strCache>
                <c:ptCount val="5"/>
                <c:pt idx="0">
                  <c:v>t1    </c:v>
                </c:pt>
                <c:pt idx="1">
                  <c:v>t2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Sheet1!$L$31:$L$35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-2.4988232688207712E-2</c:v>
                </c:pt>
                <c:pt idx="4">
                  <c:v>1.1322734360200037E-2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BB-4466-AAB4-1F30526DB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2147311"/>
        <c:axId val="812147727"/>
        <c:axId val="0"/>
      </c:bar3DChart>
      <c:catAx>
        <c:axId val="81214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47727"/>
        <c:crosses val="autoZero"/>
        <c:auto val="1"/>
        <c:lblAlgn val="ctr"/>
        <c:lblOffset val="100"/>
        <c:noMultiLvlLbl val="0"/>
      </c:catAx>
      <c:valAx>
        <c:axId val="8121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Increase in matched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Sheet1!$V$29</c:f>
              <c:strCache>
                <c:ptCount val="1"/>
                <c:pt idx="0">
                  <c:v>d1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Sheet1!$U$30:$U$34</c:f>
              <c:strCache>
                <c:ptCount val="5"/>
                <c:pt idx="0">
                  <c:v>t1       </c:v>
                </c:pt>
                <c:pt idx="1">
                  <c:v>t2 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Sheet1!$V$30:$V$34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8-4838-80F8-A06FEDB30C78}"/>
            </c:ext>
          </c:extLst>
        </c:ser>
        <c:ser>
          <c:idx val="1"/>
          <c:order val="1"/>
          <c:tx>
            <c:strRef>
              <c:f>Sheet1!$W$29</c:f>
              <c:strCache>
                <c:ptCount val="1"/>
                <c:pt idx="0">
                  <c:v>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Sheet1!$U$30:$U$34</c:f>
              <c:strCache>
                <c:ptCount val="5"/>
                <c:pt idx="0">
                  <c:v>t1       </c:v>
                </c:pt>
                <c:pt idx="1">
                  <c:v>t2 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Sheet1!$W$30:$W$34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8-4838-80F8-A06FEDB30C78}"/>
            </c:ext>
          </c:extLst>
        </c:ser>
        <c:ser>
          <c:idx val="2"/>
          <c:order val="2"/>
          <c:tx>
            <c:strRef>
              <c:f>Sheet1!$X$29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Sheet1!$U$30:$U$34</c:f>
              <c:strCache>
                <c:ptCount val="5"/>
                <c:pt idx="0">
                  <c:v>t1       </c:v>
                </c:pt>
                <c:pt idx="1">
                  <c:v>t2       </c:v>
                </c:pt>
                <c:pt idx="2">
                  <c:v>t3      </c:v>
                </c:pt>
                <c:pt idx="3">
                  <c:v>t4      </c:v>
                </c:pt>
                <c:pt idx="4">
                  <c:v>t5      </c:v>
                </c:pt>
              </c:strCache>
            </c:strRef>
          </c:cat>
          <c:val>
            <c:numRef>
              <c:f>Sheet1!$X$30:$X$34</c:f>
              <c:numCache>
                <c:formatCode>0%</c:formatCode>
                <c:ptCount val="5"/>
                <c:pt idx="0">
                  <c:v>3.2467532467532534E-2</c:v>
                </c:pt>
                <c:pt idx="1">
                  <c:v>8.9285714285714191E-2</c:v>
                </c:pt>
                <c:pt idx="2">
                  <c:v>0.10764262648008605</c:v>
                </c:pt>
                <c:pt idx="3">
                  <c:v>0</c:v>
                </c:pt>
                <c:pt idx="4">
                  <c:v>5.4101174098994731E-2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C8-4838-80F8-A06FEDB30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3590335"/>
        <c:axId val="1263588671"/>
        <c:axId val="0"/>
      </c:bar3DChart>
      <c:catAx>
        <c:axId val="126359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88671"/>
        <c:crosses val="autoZero"/>
        <c:auto val="1"/>
        <c:lblAlgn val="ctr"/>
        <c:lblOffset val="100"/>
        <c:noMultiLvlLbl val="0"/>
      </c:catAx>
      <c:valAx>
        <c:axId val="12635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Increase in Transmission</a:t>
            </a:r>
            <a:r>
              <a:rPr lang="en-US" baseline="0"/>
              <a:t> line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Sheet1!$AJ$38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Sheet1!$AK$37:$AO$37</c:f>
              <c:strCache>
                <c:ptCount val="5"/>
                <c:pt idx="0">
                  <c:v>L1-2</c:v>
                </c:pt>
                <c:pt idx="1">
                  <c:v>L1-3</c:v>
                </c:pt>
                <c:pt idx="2">
                  <c:v>L2-3</c:v>
                </c:pt>
                <c:pt idx="3">
                  <c:v>L2-4</c:v>
                </c:pt>
                <c:pt idx="4">
                  <c:v>L3-4</c:v>
                </c:pt>
              </c:strCache>
            </c:strRef>
          </c:cat>
          <c:val>
            <c:numRef>
              <c:f>Sheet1!$AK$38:$AO$38</c:f>
              <c:numCache>
                <c:formatCode>0%</c:formatCode>
                <c:ptCount val="5"/>
                <c:pt idx="0">
                  <c:v>6.6666666667103414E-6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D-4388-AA1E-0D93055BE58F}"/>
            </c:ext>
          </c:extLst>
        </c:ser>
        <c:ser>
          <c:idx val="1"/>
          <c:order val="1"/>
          <c:tx>
            <c:strRef>
              <c:f>Sheet1!$AJ$39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Sheet1!$AK$37:$AO$37</c:f>
              <c:strCache>
                <c:ptCount val="5"/>
                <c:pt idx="0">
                  <c:v>L1-2</c:v>
                </c:pt>
                <c:pt idx="1">
                  <c:v>L1-3</c:v>
                </c:pt>
                <c:pt idx="2">
                  <c:v>L2-3</c:v>
                </c:pt>
                <c:pt idx="3">
                  <c:v>L2-4</c:v>
                </c:pt>
                <c:pt idx="4">
                  <c:v>L3-4</c:v>
                </c:pt>
              </c:strCache>
            </c:strRef>
          </c:cat>
          <c:val>
            <c:numRef>
              <c:f>Sheet1!$AK$39:$AO$39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D-4388-AA1E-0D93055BE58F}"/>
            </c:ext>
          </c:extLst>
        </c:ser>
        <c:ser>
          <c:idx val="2"/>
          <c:order val="2"/>
          <c:tx>
            <c:strRef>
              <c:f>Sheet1!$AJ$40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Sheet1!$AK$37:$AO$37</c:f>
              <c:strCache>
                <c:ptCount val="5"/>
                <c:pt idx="0">
                  <c:v>L1-2</c:v>
                </c:pt>
                <c:pt idx="1">
                  <c:v>L1-3</c:v>
                </c:pt>
                <c:pt idx="2">
                  <c:v>L2-3</c:v>
                </c:pt>
                <c:pt idx="3">
                  <c:v>L2-4</c:v>
                </c:pt>
                <c:pt idx="4">
                  <c:v>L3-4</c:v>
                </c:pt>
              </c:strCache>
            </c:strRef>
          </c:cat>
          <c:val>
            <c:numRef>
              <c:f>Sheet1!$AK$40:$AO$40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D-4388-AA1E-0D93055BE58F}"/>
            </c:ext>
          </c:extLst>
        </c:ser>
        <c:ser>
          <c:idx val="3"/>
          <c:order val="3"/>
          <c:tx>
            <c:strRef>
              <c:f>Sheet1!$AJ$41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Sheet1!$AK$37:$AO$37</c:f>
              <c:strCache>
                <c:ptCount val="5"/>
                <c:pt idx="0">
                  <c:v>L1-2</c:v>
                </c:pt>
                <c:pt idx="1">
                  <c:v>L1-3</c:v>
                </c:pt>
                <c:pt idx="2">
                  <c:v>L2-3</c:v>
                </c:pt>
                <c:pt idx="3">
                  <c:v>L2-4</c:v>
                </c:pt>
                <c:pt idx="4">
                  <c:v>L3-4</c:v>
                </c:pt>
              </c:strCache>
            </c:strRef>
          </c:cat>
          <c:val>
            <c:numRef>
              <c:f>Sheet1!$AK$41:$AO$41</c:f>
              <c:numCache>
                <c:formatCode>0%</c:formatCode>
                <c:ptCount val="5"/>
                <c:pt idx="0">
                  <c:v>0.13136000000000003</c:v>
                </c:pt>
                <c:pt idx="1">
                  <c:v>0</c:v>
                </c:pt>
                <c:pt idx="2">
                  <c:v>9.5239999999999991E-2</c:v>
                </c:pt>
                <c:pt idx="3">
                  <c:v>3.8093333333333312E-2</c:v>
                </c:pt>
                <c:pt idx="4">
                  <c:v>-3.8093333333333312E-2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DD-4388-AA1E-0D93055BE58F}"/>
            </c:ext>
          </c:extLst>
        </c:ser>
        <c:ser>
          <c:idx val="4"/>
          <c:order val="4"/>
          <c:tx>
            <c:strRef>
              <c:f>Sheet1!$AJ$42</c:f>
              <c:strCache>
                <c:ptCount val="1"/>
                <c:pt idx="0">
                  <c:v>t5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Sheet1!$AK$37:$AO$37</c:f>
              <c:strCache>
                <c:ptCount val="5"/>
                <c:pt idx="0">
                  <c:v>L1-2</c:v>
                </c:pt>
                <c:pt idx="1">
                  <c:v>L1-3</c:v>
                </c:pt>
                <c:pt idx="2">
                  <c:v>L2-3</c:v>
                </c:pt>
                <c:pt idx="3">
                  <c:v>L2-4</c:v>
                </c:pt>
                <c:pt idx="4">
                  <c:v>L3-4</c:v>
                </c:pt>
              </c:strCache>
            </c:strRef>
          </c:cat>
          <c:val>
            <c:numRef>
              <c:f>Sheet1!$AK$42:$AO$42</c:f>
              <c:numCache>
                <c:formatCode>0%</c:formatCode>
                <c:ptCount val="5"/>
                <c:pt idx="0">
                  <c:v>1.3506666666666778E-2</c:v>
                </c:pt>
                <c:pt idx="1">
                  <c:v>0</c:v>
                </c:pt>
                <c:pt idx="2">
                  <c:v>9.7933333333333206E-3</c:v>
                </c:pt>
                <c:pt idx="3">
                  <c:v>3.9133333333333797E-3</c:v>
                </c:pt>
                <c:pt idx="4">
                  <c:v>-3.913333333333352E-3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DD-4388-AA1E-0D93055B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393743"/>
        <c:axId val="1278394159"/>
      </c:barChart>
      <c:catAx>
        <c:axId val="127839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94159"/>
        <c:crosses val="autoZero"/>
        <c:auto val="1"/>
        <c:lblAlgn val="ctr"/>
        <c:lblOffset val="100"/>
        <c:noMultiLvlLbl val="0"/>
      </c:catAx>
      <c:valAx>
        <c:axId val="12783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39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Sheet1!$AA$38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Sheet1!$AB$38:$AG$38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6-4BD9-B4B9-DC192584E9C4}"/>
            </c:ext>
          </c:extLst>
        </c:ser>
        <c:ser>
          <c:idx val="1"/>
          <c:order val="1"/>
          <c:tx>
            <c:strRef>
              <c:f>Sheet1!$AA$39</c:f>
              <c:strCache>
                <c:ptCount val="1"/>
                <c:pt idx="0">
                  <c:v>t1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Sheet1!$AB$39:$AG$39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6-4BD9-B4B9-DC192584E9C4}"/>
            </c:ext>
          </c:extLst>
        </c:ser>
        <c:ser>
          <c:idx val="2"/>
          <c:order val="2"/>
          <c:tx>
            <c:strRef>
              <c:f>Sheet1!$AA$40</c:f>
              <c:strCache>
                <c:ptCount val="1"/>
                <c:pt idx="0">
                  <c:v>t2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Sheet1!$AB$40:$AG$40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26-4BD9-B4B9-DC192584E9C4}"/>
            </c:ext>
          </c:extLst>
        </c:ser>
        <c:ser>
          <c:idx val="3"/>
          <c:order val="3"/>
          <c:tx>
            <c:strRef>
              <c:f>Sheet1!$AA$41</c:f>
              <c:strCache>
                <c:ptCount val="1"/>
                <c:pt idx="0">
                  <c:v>t3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Sheet1!$AB$41:$AG$41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26-4BD9-B4B9-DC192584E9C4}"/>
            </c:ext>
          </c:extLst>
        </c:ser>
        <c:ser>
          <c:idx val="4"/>
          <c:order val="4"/>
          <c:tx>
            <c:strRef>
              <c:f>Sheet1!$AA$42</c:f>
              <c:strCache>
                <c:ptCount val="1"/>
                <c:pt idx="0">
                  <c:v>t4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Sheet1!$AB$42:$AG$42</c:f>
              <c:numCache>
                <c:formatCode>0%</c:formatCode>
                <c:ptCount val="6"/>
                <c:pt idx="0">
                  <c:v>7.1355626534558736E-2</c:v>
                </c:pt>
                <c:pt idx="1">
                  <c:v>0</c:v>
                </c:pt>
                <c:pt idx="2">
                  <c:v>-0.51656215034737585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26-4BD9-B4B9-DC192584E9C4}"/>
            </c:ext>
          </c:extLst>
        </c:ser>
        <c:ser>
          <c:idx val="5"/>
          <c:order val="5"/>
          <c:tx>
            <c:strRef>
              <c:f>Sheet1!$AA$43</c:f>
              <c:strCache>
                <c:ptCount val="1"/>
                <c:pt idx="0">
                  <c:v>t5    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Sheet1!$AB$37:$AG$37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Sheet1!$AB$43:$AG$43</c:f>
              <c:numCache>
                <c:formatCode>0%</c:formatCode>
                <c:ptCount val="6"/>
                <c:pt idx="0">
                  <c:v>6.7992509413572488E-3</c:v>
                </c:pt>
                <c:pt idx="1">
                  <c:v>0</c:v>
                </c:pt>
                <c:pt idx="2">
                  <c:v>-7.1787837219935979E-2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26-4BD9-B4B9-DC192584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7979727"/>
        <c:axId val="1287980143"/>
        <c:axId val="0"/>
      </c:bar3DChart>
      <c:catAx>
        <c:axId val="128797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80143"/>
        <c:crosses val="autoZero"/>
        <c:auto val="1"/>
        <c:lblAlgn val="ctr"/>
        <c:lblOffset val="100"/>
        <c:noMultiLvlLbl val="0"/>
      </c:catAx>
      <c:valAx>
        <c:axId val="128798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7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44</xdr:row>
      <xdr:rowOff>167640</xdr:rowOff>
    </xdr:from>
    <xdr:to>
      <xdr:col>18</xdr:col>
      <xdr:colOff>91440</xdr:colOff>
      <xdr:row>64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D08B5A-A799-4076-894E-7FEDAB268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</xdr:colOff>
      <xdr:row>12</xdr:row>
      <xdr:rowOff>106680</xdr:rowOff>
    </xdr:from>
    <xdr:to>
      <xdr:col>13</xdr:col>
      <xdr:colOff>381000</xdr:colOff>
      <xdr:row>29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1BCDAC-3E78-4AFA-9CB1-88574C886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320040</xdr:colOff>
      <xdr:row>13</xdr:row>
      <xdr:rowOff>91440</xdr:rowOff>
    </xdr:from>
    <xdr:to>
      <xdr:col>24</xdr:col>
      <xdr:colOff>426720</xdr:colOff>
      <xdr:row>26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897BCE-A664-4D89-9E1F-1E7550328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64770</xdr:colOff>
      <xdr:row>20</xdr:row>
      <xdr:rowOff>22860</xdr:rowOff>
    </xdr:from>
    <xdr:to>
      <xdr:col>41</xdr:col>
      <xdr:colOff>68580</xdr:colOff>
      <xdr:row>38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B7A1F77-FE33-4A95-9435-A5CAB83D5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453390</xdr:colOff>
      <xdr:row>26</xdr:row>
      <xdr:rowOff>137160</xdr:rowOff>
    </xdr:from>
    <xdr:to>
      <xdr:col>29</xdr:col>
      <xdr:colOff>148590</xdr:colOff>
      <xdr:row>41</xdr:row>
      <xdr:rowOff>137160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2E794E2-B27B-432E-9BFB-74587861A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E901-C08E-475D-91C9-BA6AA370D85B}">
  <dimension ref="A8:AO66"/>
  <sheetViews>
    <sheetView tabSelected="1" topLeftCell="Q13" zoomScaleNormal="100" workbookViewId="0">
      <selection activeCell="AG46" sqref="AG46"/>
    </sheetView>
  </sheetViews>
  <sheetFormatPr defaultRowHeight="14.4" x14ac:dyDescent="0.3"/>
  <cols>
    <col min="37" max="37" width="12" bestFit="1" customWidth="1"/>
  </cols>
  <sheetData>
    <row r="8" spans="3:7" x14ac:dyDescent="0.3">
      <c r="C8" t="s">
        <v>9</v>
      </c>
    </row>
    <row r="9" spans="3:7" x14ac:dyDescent="0.3">
      <c r="D9" t="s">
        <v>1</v>
      </c>
      <c r="E9" t="s">
        <v>2</v>
      </c>
      <c r="F9" t="s">
        <v>3</v>
      </c>
      <c r="G9" t="s">
        <v>4</v>
      </c>
    </row>
    <row r="10" spans="3:7" x14ac:dyDescent="0.3">
      <c r="C10" t="s">
        <v>0</v>
      </c>
      <c r="D10">
        <v>35</v>
      </c>
      <c r="E10">
        <v>35</v>
      </c>
      <c r="F10">
        <v>35</v>
      </c>
      <c r="G10">
        <v>35</v>
      </c>
    </row>
    <row r="11" spans="3:7" x14ac:dyDescent="0.3">
      <c r="C11" t="s">
        <v>5</v>
      </c>
      <c r="D11">
        <v>21</v>
      </c>
      <c r="E11">
        <v>21</v>
      </c>
      <c r="F11">
        <v>21</v>
      </c>
      <c r="G11">
        <v>21</v>
      </c>
    </row>
    <row r="12" spans="3:7" x14ac:dyDescent="0.3">
      <c r="C12" t="s">
        <v>6</v>
      </c>
      <c r="D12">
        <v>69.599999999999994</v>
      </c>
      <c r="E12">
        <v>90</v>
      </c>
      <c r="F12">
        <v>78</v>
      </c>
      <c r="G12">
        <v>85.2</v>
      </c>
    </row>
    <row r="13" spans="3:7" x14ac:dyDescent="0.3">
      <c r="C13" t="s">
        <v>7</v>
      </c>
      <c r="D13">
        <v>30</v>
      </c>
      <c r="E13">
        <v>60.295000000000002</v>
      </c>
      <c r="F13">
        <v>90.143000000000001</v>
      </c>
      <c r="G13">
        <v>72.233999999999995</v>
      </c>
    </row>
    <row r="14" spans="3:7" x14ac:dyDescent="0.3">
      <c r="C14" t="s">
        <v>8</v>
      </c>
      <c r="D14">
        <v>30</v>
      </c>
      <c r="E14">
        <v>57.704999999999998</v>
      </c>
      <c r="F14">
        <v>85</v>
      </c>
      <c r="G14">
        <v>68.623000000000005</v>
      </c>
    </row>
    <row r="19" spans="3:41" x14ac:dyDescent="0.3">
      <c r="P19" t="s">
        <v>19</v>
      </c>
      <c r="AA19" t="s">
        <v>26</v>
      </c>
    </row>
    <row r="20" spans="3:41" x14ac:dyDescent="0.3">
      <c r="Q20" t="s">
        <v>20</v>
      </c>
      <c r="R20" t="s">
        <v>21</v>
      </c>
      <c r="S20" t="s">
        <v>22</v>
      </c>
      <c r="AA20">
        <f>P20</f>
        <v>0</v>
      </c>
      <c r="AB20" t="s">
        <v>27</v>
      </c>
      <c r="AC20" t="s">
        <v>28</v>
      </c>
      <c r="AD20" t="s">
        <v>29</v>
      </c>
      <c r="AE20" t="s">
        <v>30</v>
      </c>
      <c r="AF20" t="s">
        <v>31</v>
      </c>
      <c r="AG20" t="s">
        <v>32</v>
      </c>
      <c r="AK20" t="s">
        <v>36</v>
      </c>
      <c r="AL20" t="s">
        <v>35</v>
      </c>
      <c r="AM20" t="s">
        <v>37</v>
      </c>
      <c r="AN20" t="s">
        <v>38</v>
      </c>
      <c r="AO20" t="s">
        <v>39</v>
      </c>
    </row>
    <row r="21" spans="3:41" x14ac:dyDescent="0.3">
      <c r="P21" t="s">
        <v>23</v>
      </c>
      <c r="Q21">
        <v>1</v>
      </c>
      <c r="R21">
        <v>240</v>
      </c>
      <c r="S21">
        <v>154</v>
      </c>
      <c r="AA21" t="s">
        <v>33</v>
      </c>
      <c r="AB21">
        <v>150</v>
      </c>
      <c r="AC21">
        <v>28</v>
      </c>
      <c r="AD21">
        <v>50</v>
      </c>
      <c r="AE21">
        <v>25</v>
      </c>
      <c r="AF21">
        <v>100</v>
      </c>
      <c r="AG21">
        <v>0</v>
      </c>
      <c r="AJ21" t="str">
        <f>AA22</f>
        <v xml:space="preserve">t1       </v>
      </c>
      <c r="AK21">
        <v>113.923</v>
      </c>
      <c r="AL21">
        <v>135.077</v>
      </c>
      <c r="AM21">
        <v>15.055</v>
      </c>
      <c r="AN21">
        <v>66.022000000000006</v>
      </c>
      <c r="AO21">
        <v>33.978000000000002</v>
      </c>
    </row>
    <row r="22" spans="3:41" x14ac:dyDescent="0.3">
      <c r="P22" t="s">
        <v>24</v>
      </c>
      <c r="Q22">
        <v>1</v>
      </c>
      <c r="R22">
        <v>192</v>
      </c>
      <c r="S22">
        <v>112</v>
      </c>
      <c r="AA22" t="str">
        <f>P21</f>
        <v xml:space="preserve">t1       </v>
      </c>
      <c r="AB22">
        <v>250</v>
      </c>
      <c r="AC22">
        <v>0</v>
      </c>
      <c r="AD22">
        <v>30</v>
      </c>
      <c r="AE22">
        <v>15</v>
      </c>
      <c r="AF22">
        <v>100</v>
      </c>
      <c r="AG22">
        <v>0</v>
      </c>
      <c r="AJ22" t="str">
        <f t="shared" ref="AJ22:AJ25" si="0">AA23</f>
        <v xml:space="preserve">t2       </v>
      </c>
      <c r="AK22">
        <f>AK32</f>
        <v>90.718000000000004</v>
      </c>
      <c r="AL22">
        <f t="shared" ref="AL22:AM22" si="1">AL32</f>
        <v>108.282</v>
      </c>
      <c r="AM22">
        <f t="shared" si="1"/>
        <v>11.63</v>
      </c>
      <c r="AN22">
        <f>AN32</f>
        <v>34.652000000000001</v>
      </c>
      <c r="AO22">
        <f>AO32</f>
        <v>15.348000000000001</v>
      </c>
    </row>
    <row r="23" spans="3:41" x14ac:dyDescent="0.3">
      <c r="P23" t="s">
        <v>6</v>
      </c>
      <c r="Q23">
        <v>2</v>
      </c>
      <c r="R23">
        <v>348.65</v>
      </c>
      <c r="S23">
        <v>139.35</v>
      </c>
      <c r="AA23" t="str">
        <f>P22</f>
        <v xml:space="preserve">t2       </v>
      </c>
      <c r="AB23">
        <v>200</v>
      </c>
      <c r="AC23">
        <v>0</v>
      </c>
      <c r="AD23">
        <v>30</v>
      </c>
      <c r="AE23">
        <v>25</v>
      </c>
      <c r="AF23">
        <v>50</v>
      </c>
      <c r="AG23">
        <v>0</v>
      </c>
      <c r="AJ23" t="str">
        <f t="shared" si="0"/>
        <v xml:space="preserve">t3      </v>
      </c>
      <c r="AK23">
        <f>AK33</f>
        <v>150</v>
      </c>
      <c r="AL23">
        <f t="shared" ref="AL23:AO23" si="2">AL33</f>
        <v>148</v>
      </c>
      <c r="AM23">
        <f t="shared" si="2"/>
        <v>34.75</v>
      </c>
      <c r="AN23">
        <f t="shared" si="2"/>
        <v>73.900000000000006</v>
      </c>
      <c r="AO23">
        <f t="shared" si="2"/>
        <v>26.1</v>
      </c>
    </row>
    <row r="24" spans="3:41" x14ac:dyDescent="0.3">
      <c r="P24" t="s">
        <v>7</v>
      </c>
      <c r="Q24">
        <v>2</v>
      </c>
      <c r="R24">
        <v>312</v>
      </c>
      <c r="S24">
        <v>169</v>
      </c>
      <c r="AA24" t="str">
        <f>P23</f>
        <v xml:space="preserve">t3      </v>
      </c>
      <c r="AB24">
        <v>300</v>
      </c>
      <c r="AC24">
        <v>0</v>
      </c>
      <c r="AD24">
        <v>55</v>
      </c>
      <c r="AE24">
        <v>35</v>
      </c>
      <c r="AF24">
        <v>100</v>
      </c>
      <c r="AG24">
        <v>0</v>
      </c>
      <c r="AJ24" t="str">
        <f t="shared" si="0"/>
        <v xml:space="preserve">t4      </v>
      </c>
      <c r="AK24">
        <v>124.13800000000001</v>
      </c>
      <c r="AL24">
        <v>150</v>
      </c>
      <c r="AM24">
        <v>15</v>
      </c>
      <c r="AN24">
        <v>66</v>
      </c>
      <c r="AO24">
        <v>34</v>
      </c>
    </row>
    <row r="25" spans="3:41" x14ac:dyDescent="0.3">
      <c r="P25" t="s">
        <v>8</v>
      </c>
      <c r="Q25">
        <v>2</v>
      </c>
      <c r="R25">
        <v>336</v>
      </c>
      <c r="S25">
        <v>146.83600000000001</v>
      </c>
      <c r="AA25" t="str">
        <f>P24</f>
        <v xml:space="preserve">t4      </v>
      </c>
      <c r="AB25">
        <v>276.13799999999998</v>
      </c>
      <c r="AC25">
        <v>0</v>
      </c>
      <c r="AD25">
        <v>76.861999999999995</v>
      </c>
      <c r="AE25">
        <v>30</v>
      </c>
      <c r="AF25">
        <v>100</v>
      </c>
      <c r="AG25">
        <v>0</v>
      </c>
      <c r="AJ25" t="str">
        <f t="shared" si="0"/>
        <v xml:space="preserve">t5      </v>
      </c>
      <c r="AK25">
        <v>145.97399999999999</v>
      </c>
      <c r="AL25">
        <v>150</v>
      </c>
      <c r="AM25">
        <v>30.831</v>
      </c>
      <c r="AN25">
        <v>72.332999999999998</v>
      </c>
      <c r="AO25">
        <v>27.667000000000002</v>
      </c>
    </row>
    <row r="26" spans="3:41" x14ac:dyDescent="0.3">
      <c r="AA26" t="str">
        <f>P25</f>
        <v xml:space="preserve">t5      </v>
      </c>
      <c r="AB26">
        <v>297.97399999999999</v>
      </c>
      <c r="AC26">
        <v>0</v>
      </c>
      <c r="AD26">
        <v>56.862000000000002</v>
      </c>
      <c r="AE26">
        <v>30</v>
      </c>
      <c r="AF26">
        <v>100</v>
      </c>
      <c r="AG26">
        <v>0</v>
      </c>
    </row>
    <row r="28" spans="3:41" x14ac:dyDescent="0.3">
      <c r="C28" t="s">
        <v>10</v>
      </c>
      <c r="P28" t="s">
        <v>25</v>
      </c>
      <c r="AA28" t="s">
        <v>34</v>
      </c>
    </row>
    <row r="29" spans="3:41" x14ac:dyDescent="0.3">
      <c r="Q29" t="s">
        <v>20</v>
      </c>
      <c r="R29" t="s">
        <v>21</v>
      </c>
      <c r="S29" t="s">
        <v>22</v>
      </c>
      <c r="V29" t="str">
        <f>Q29</f>
        <v>d1</v>
      </c>
      <c r="W29" t="str">
        <f t="shared" ref="W29:X29" si="3">R29</f>
        <v>d2</v>
      </c>
      <c r="X29" t="str">
        <f t="shared" si="3"/>
        <v>d3</v>
      </c>
      <c r="AB29" t="str">
        <f t="shared" ref="AA29:AG34" si="4">AB20</f>
        <v>g1</v>
      </c>
      <c r="AC29" t="str">
        <f t="shared" si="4"/>
        <v>g2</v>
      </c>
      <c r="AD29" t="str">
        <f t="shared" si="4"/>
        <v>g3</v>
      </c>
      <c r="AE29" t="str">
        <f t="shared" si="4"/>
        <v>g4</v>
      </c>
      <c r="AF29" t="str">
        <f t="shared" si="4"/>
        <v>g5</v>
      </c>
      <c r="AG29" t="str">
        <f t="shared" si="4"/>
        <v>g6</v>
      </c>
      <c r="AJ29" t="s">
        <v>40</v>
      </c>
    </row>
    <row r="30" spans="3:41" x14ac:dyDescent="0.3">
      <c r="D30" t="str">
        <f t="shared" ref="D30:F30" si="5">D9</f>
        <v>bus1</v>
      </c>
      <c r="E30" t="str">
        <f t="shared" si="5"/>
        <v>bus2</v>
      </c>
      <c r="F30" t="str">
        <f t="shared" si="5"/>
        <v>bus3</v>
      </c>
      <c r="G30" t="str">
        <f>G9</f>
        <v>bus4</v>
      </c>
      <c r="I30" t="str">
        <f>D30</f>
        <v>bus1</v>
      </c>
      <c r="J30" t="str">
        <f t="shared" ref="J30:M30" si="6">E30</f>
        <v>bus2</v>
      </c>
      <c r="K30" t="str">
        <f t="shared" si="6"/>
        <v>bus3</v>
      </c>
      <c r="L30" t="str">
        <f t="shared" si="6"/>
        <v>bus4</v>
      </c>
      <c r="P30" t="s">
        <v>23</v>
      </c>
      <c r="Q30">
        <v>1</v>
      </c>
      <c r="R30">
        <v>240</v>
      </c>
      <c r="S30">
        <v>159</v>
      </c>
      <c r="U30" t="str">
        <f>P30</f>
        <v xml:space="preserve">t1       </v>
      </c>
      <c r="V30" s="1">
        <f>(Q30/Q21)-1</f>
        <v>0</v>
      </c>
      <c r="W30" s="1">
        <f>(R30/R21)-1</f>
        <v>0</v>
      </c>
      <c r="X30" s="1">
        <f>(S30/S21)-1</f>
        <v>3.2467532467532534E-2</v>
      </c>
      <c r="AA30" t="str">
        <f t="shared" si="4"/>
        <v>t0</v>
      </c>
      <c r="AB30">
        <f t="shared" si="4"/>
        <v>150</v>
      </c>
      <c r="AC30">
        <f t="shared" si="4"/>
        <v>28</v>
      </c>
      <c r="AD30">
        <f t="shared" si="4"/>
        <v>50</v>
      </c>
      <c r="AE30">
        <f t="shared" si="4"/>
        <v>25</v>
      </c>
      <c r="AF30">
        <f t="shared" si="4"/>
        <v>100</v>
      </c>
      <c r="AG30">
        <v>0</v>
      </c>
      <c r="AK30" t="s">
        <v>36</v>
      </c>
      <c r="AL30" t="s">
        <v>35</v>
      </c>
      <c r="AM30" t="s">
        <v>37</v>
      </c>
      <c r="AN30" t="s">
        <v>38</v>
      </c>
      <c r="AO30" t="s">
        <v>39</v>
      </c>
    </row>
    <row r="31" spans="3:41" x14ac:dyDescent="0.3">
      <c r="C31" t="str">
        <f t="shared" ref="C31:G35" si="7">C10</f>
        <v xml:space="preserve">t1    </v>
      </c>
      <c r="D31">
        <f>D10</f>
        <v>35</v>
      </c>
      <c r="E31">
        <f t="shared" si="7"/>
        <v>35</v>
      </c>
      <c r="F31">
        <f t="shared" si="7"/>
        <v>35</v>
      </c>
      <c r="G31">
        <f t="shared" si="7"/>
        <v>35</v>
      </c>
      <c r="H31" t="str">
        <f>C31</f>
        <v xml:space="preserve">t1    </v>
      </c>
      <c r="I31" s="1">
        <f>(D31/D10)-1</f>
        <v>0</v>
      </c>
      <c r="J31" s="1">
        <f t="shared" ref="J31:L31" si="8">(E31/E10)-1</f>
        <v>0</v>
      </c>
      <c r="K31" s="1">
        <f t="shared" si="8"/>
        <v>0</v>
      </c>
      <c r="L31" s="1">
        <f t="shared" si="8"/>
        <v>0</v>
      </c>
      <c r="P31" t="s">
        <v>24</v>
      </c>
      <c r="Q31">
        <v>1</v>
      </c>
      <c r="R31">
        <v>192</v>
      </c>
      <c r="S31">
        <v>122</v>
      </c>
      <c r="U31" t="str">
        <f t="shared" ref="U31:U34" si="9">P31</f>
        <v xml:space="preserve">t2       </v>
      </c>
      <c r="V31" s="1">
        <f t="shared" ref="V31:X31" si="10">(Q31/Q22)-1</f>
        <v>0</v>
      </c>
      <c r="W31" s="1">
        <f t="shared" si="10"/>
        <v>0</v>
      </c>
      <c r="X31" s="1">
        <f t="shared" si="10"/>
        <v>8.9285714285714191E-2</v>
      </c>
      <c r="AA31" t="str">
        <f t="shared" si="4"/>
        <v xml:space="preserve">t1       </v>
      </c>
      <c r="AB31">
        <f t="shared" si="4"/>
        <v>250</v>
      </c>
      <c r="AC31">
        <f t="shared" si="4"/>
        <v>0</v>
      </c>
      <c r="AD31">
        <f t="shared" si="4"/>
        <v>30</v>
      </c>
      <c r="AE31">
        <f t="shared" si="4"/>
        <v>15</v>
      </c>
      <c r="AF31">
        <f t="shared" si="4"/>
        <v>100</v>
      </c>
      <c r="AG31">
        <v>5</v>
      </c>
      <c r="AJ31" t="s">
        <v>12</v>
      </c>
      <c r="AK31">
        <v>113.92400000000001</v>
      </c>
      <c r="AL31">
        <v>135.077</v>
      </c>
      <c r="AM31">
        <v>15.055</v>
      </c>
      <c r="AN31">
        <v>66.022000000000006</v>
      </c>
      <c r="AO31">
        <v>33.978000000000002</v>
      </c>
    </row>
    <row r="32" spans="3:41" x14ac:dyDescent="0.3">
      <c r="C32" t="str">
        <f t="shared" si="7"/>
        <v xml:space="preserve">t2      </v>
      </c>
      <c r="D32">
        <f t="shared" si="7"/>
        <v>21</v>
      </c>
      <c r="E32">
        <f t="shared" si="7"/>
        <v>21</v>
      </c>
      <c r="F32">
        <f t="shared" si="7"/>
        <v>21</v>
      </c>
      <c r="G32">
        <f t="shared" si="7"/>
        <v>21</v>
      </c>
      <c r="H32" t="str">
        <f t="shared" ref="H32:H35" si="11">C32</f>
        <v xml:space="preserve">t2      </v>
      </c>
      <c r="I32" s="1">
        <f t="shared" ref="I32:I35" si="12">(D32/D11)-1</f>
        <v>0</v>
      </c>
      <c r="J32" s="1">
        <f t="shared" ref="J32:J35" si="13">(E32/E11)-1</f>
        <v>0</v>
      </c>
      <c r="K32" s="1">
        <f t="shared" ref="K32:K35" si="14">(F32/F11)-1</f>
        <v>0</v>
      </c>
      <c r="L32" s="1">
        <f t="shared" ref="L32:L35" si="15">(G32/G11)-1</f>
        <v>0</v>
      </c>
      <c r="P32" t="s">
        <v>6</v>
      </c>
      <c r="Q32">
        <v>2</v>
      </c>
      <c r="R32">
        <v>348.65</v>
      </c>
      <c r="S32">
        <v>154.35</v>
      </c>
      <c r="U32" t="str">
        <f t="shared" si="9"/>
        <v xml:space="preserve">t3      </v>
      </c>
      <c r="V32" s="1">
        <f t="shared" ref="V32:X32" si="16">(Q32/Q23)-1</f>
        <v>0</v>
      </c>
      <c r="W32" s="1">
        <f t="shared" si="16"/>
        <v>0</v>
      </c>
      <c r="X32" s="1">
        <f t="shared" si="16"/>
        <v>0.10764262648008605</v>
      </c>
      <c r="AA32" t="str">
        <f t="shared" si="4"/>
        <v xml:space="preserve">t2       </v>
      </c>
      <c r="AB32">
        <f t="shared" si="4"/>
        <v>200</v>
      </c>
      <c r="AC32">
        <f t="shared" si="4"/>
        <v>0</v>
      </c>
      <c r="AD32">
        <f t="shared" si="4"/>
        <v>30</v>
      </c>
      <c r="AE32">
        <f t="shared" si="4"/>
        <v>25</v>
      </c>
      <c r="AF32">
        <f t="shared" si="4"/>
        <v>50</v>
      </c>
      <c r="AG32">
        <v>10</v>
      </c>
      <c r="AJ32" t="s">
        <v>13</v>
      </c>
      <c r="AK32">
        <v>90.718000000000004</v>
      </c>
      <c r="AL32">
        <v>108.282</v>
      </c>
      <c r="AM32">
        <v>11.63</v>
      </c>
      <c r="AN32">
        <v>34.652000000000001</v>
      </c>
      <c r="AO32">
        <v>15.348000000000001</v>
      </c>
    </row>
    <row r="33" spans="1:41" x14ac:dyDescent="0.3">
      <c r="C33" t="str">
        <f t="shared" si="7"/>
        <v xml:space="preserve">t3      </v>
      </c>
      <c r="D33">
        <f t="shared" si="7"/>
        <v>69.599999999999994</v>
      </c>
      <c r="E33">
        <f t="shared" si="7"/>
        <v>90</v>
      </c>
      <c r="F33">
        <f t="shared" si="7"/>
        <v>78</v>
      </c>
      <c r="G33">
        <f t="shared" si="7"/>
        <v>85.2</v>
      </c>
      <c r="H33" t="str">
        <f t="shared" si="11"/>
        <v xml:space="preserve">t3      </v>
      </c>
      <c r="I33" s="1">
        <f t="shared" si="12"/>
        <v>0</v>
      </c>
      <c r="J33" s="1">
        <f t="shared" si="13"/>
        <v>0</v>
      </c>
      <c r="K33" s="1">
        <f t="shared" si="14"/>
        <v>0</v>
      </c>
      <c r="L33" s="1">
        <f t="shared" si="15"/>
        <v>0</v>
      </c>
      <c r="P33" t="s">
        <v>7</v>
      </c>
      <c r="Q33">
        <v>2</v>
      </c>
      <c r="R33">
        <v>312</v>
      </c>
      <c r="S33">
        <v>169</v>
      </c>
      <c r="U33" t="str">
        <f t="shared" si="9"/>
        <v xml:space="preserve">t4      </v>
      </c>
      <c r="V33" s="1">
        <f t="shared" ref="V33:X33" si="17">(Q33/Q24)-1</f>
        <v>0</v>
      </c>
      <c r="W33" s="1">
        <f t="shared" si="17"/>
        <v>0</v>
      </c>
      <c r="X33" s="1">
        <f t="shared" si="17"/>
        <v>0</v>
      </c>
      <c r="AA33" t="str">
        <f t="shared" si="4"/>
        <v xml:space="preserve">t3      </v>
      </c>
      <c r="AB33">
        <f t="shared" si="4"/>
        <v>300</v>
      </c>
      <c r="AC33">
        <f t="shared" si="4"/>
        <v>0</v>
      </c>
      <c r="AD33">
        <f t="shared" si="4"/>
        <v>55</v>
      </c>
      <c r="AE33">
        <f t="shared" si="4"/>
        <v>35</v>
      </c>
      <c r="AF33">
        <f t="shared" si="4"/>
        <v>100</v>
      </c>
      <c r="AG33">
        <v>15</v>
      </c>
      <c r="AJ33" t="s">
        <v>14</v>
      </c>
      <c r="AK33">
        <v>150</v>
      </c>
      <c r="AL33">
        <v>148</v>
      </c>
      <c r="AM33">
        <v>34.75</v>
      </c>
      <c r="AN33">
        <v>73.900000000000006</v>
      </c>
      <c r="AO33">
        <v>26.1</v>
      </c>
    </row>
    <row r="34" spans="1:41" x14ac:dyDescent="0.3">
      <c r="C34" t="str">
        <f t="shared" si="7"/>
        <v xml:space="preserve">t4      </v>
      </c>
      <c r="D34">
        <v>30</v>
      </c>
      <c r="E34">
        <v>59</v>
      </c>
      <c r="F34">
        <v>87.570999999999998</v>
      </c>
      <c r="G34">
        <v>70.429000000000002</v>
      </c>
      <c r="H34" t="str">
        <f t="shared" si="11"/>
        <v xml:space="preserve">t4      </v>
      </c>
      <c r="I34" s="1">
        <f t="shared" si="12"/>
        <v>0</v>
      </c>
      <c r="J34" s="1">
        <f t="shared" si="13"/>
        <v>-2.1477734472178489E-2</v>
      </c>
      <c r="K34" s="1">
        <f t="shared" si="14"/>
        <v>-2.8532442896287091E-2</v>
      </c>
      <c r="L34" s="1">
        <f t="shared" si="15"/>
        <v>-2.4988232688207712E-2</v>
      </c>
      <c r="P34" t="s">
        <v>8</v>
      </c>
      <c r="Q34">
        <v>2</v>
      </c>
      <c r="R34">
        <v>336</v>
      </c>
      <c r="S34">
        <v>154.78</v>
      </c>
      <c r="U34" t="str">
        <f t="shared" si="9"/>
        <v xml:space="preserve">t5      </v>
      </c>
      <c r="V34" s="1">
        <f t="shared" ref="V34:X34" si="18">(Q34/Q25)-1</f>
        <v>0</v>
      </c>
      <c r="W34" s="1">
        <f t="shared" si="18"/>
        <v>0</v>
      </c>
      <c r="X34" s="1">
        <f t="shared" si="18"/>
        <v>5.4101174098994731E-2</v>
      </c>
      <c r="AA34" t="str">
        <f t="shared" si="4"/>
        <v xml:space="preserve">t4      </v>
      </c>
      <c r="AB34">
        <f>295.842</f>
        <v>295.84199999999998</v>
      </c>
      <c r="AC34">
        <f t="shared" si="4"/>
        <v>0</v>
      </c>
      <c r="AD34">
        <f>37.158</f>
        <v>37.158000000000001</v>
      </c>
      <c r="AE34">
        <f t="shared" si="4"/>
        <v>30</v>
      </c>
      <c r="AF34">
        <f t="shared" si="4"/>
        <v>100</v>
      </c>
      <c r="AG34">
        <v>20</v>
      </c>
      <c r="AJ34" t="s">
        <v>15</v>
      </c>
      <c r="AK34">
        <v>143.84200000000001</v>
      </c>
      <c r="AL34">
        <v>150</v>
      </c>
      <c r="AM34">
        <v>29.286000000000001</v>
      </c>
      <c r="AN34">
        <v>71.713999999999999</v>
      </c>
      <c r="AO34">
        <v>28.286000000000001</v>
      </c>
    </row>
    <row r="35" spans="1:41" x14ac:dyDescent="0.3">
      <c r="C35" t="str">
        <f t="shared" si="7"/>
        <v xml:space="preserve">t5      </v>
      </c>
      <c r="D35">
        <v>32.61</v>
      </c>
      <c r="E35">
        <v>59</v>
      </c>
      <c r="F35">
        <v>85</v>
      </c>
      <c r="G35">
        <v>69.400000000000006</v>
      </c>
      <c r="H35" t="str">
        <f t="shared" si="11"/>
        <v xml:space="preserve">t5      </v>
      </c>
      <c r="I35" s="1">
        <f t="shared" si="12"/>
        <v>8.6999999999999966E-2</v>
      </c>
      <c r="J35" s="1">
        <f t="shared" si="13"/>
        <v>2.244172948617984E-2</v>
      </c>
      <c r="K35" s="1">
        <f t="shared" si="14"/>
        <v>0</v>
      </c>
      <c r="L35" s="1">
        <f t="shared" si="15"/>
        <v>1.1322734360200037E-2</v>
      </c>
      <c r="AA35" t="str">
        <f>AA26</f>
        <v xml:space="preserve">t5      </v>
      </c>
      <c r="AB35">
        <f>300</f>
        <v>300</v>
      </c>
      <c r="AC35">
        <f t="shared" ref="AB35:AG35" si="19">AC26</f>
        <v>0</v>
      </c>
      <c r="AD35">
        <f>52.78</f>
        <v>52.78</v>
      </c>
      <c r="AE35">
        <f t="shared" si="19"/>
        <v>30</v>
      </c>
      <c r="AF35">
        <f t="shared" si="19"/>
        <v>100</v>
      </c>
      <c r="AG35">
        <v>10</v>
      </c>
      <c r="AJ35" t="s">
        <v>16</v>
      </c>
      <c r="AK35">
        <v>148</v>
      </c>
      <c r="AL35">
        <v>150</v>
      </c>
      <c r="AM35">
        <v>32.299999999999997</v>
      </c>
      <c r="AN35">
        <v>72.92</v>
      </c>
      <c r="AO35">
        <v>27.08</v>
      </c>
    </row>
    <row r="37" spans="1:41" x14ac:dyDescent="0.3">
      <c r="AB37" t="str">
        <f>AB29</f>
        <v>g1</v>
      </c>
      <c r="AC37" t="str">
        <f t="shared" ref="AC37:AG37" si="20">AC29</f>
        <v>g2</v>
      </c>
      <c r="AD37" t="str">
        <f t="shared" si="20"/>
        <v>g3</v>
      </c>
      <c r="AE37" t="str">
        <f t="shared" si="20"/>
        <v>g4</v>
      </c>
      <c r="AF37" t="str">
        <f t="shared" si="20"/>
        <v>g5</v>
      </c>
      <c r="AG37" t="str">
        <f t="shared" si="20"/>
        <v>g6</v>
      </c>
      <c r="AK37" t="str">
        <f>AK30</f>
        <v>L1-2</v>
      </c>
      <c r="AL37" t="str">
        <f t="shared" ref="AL37:AO37" si="21">AL30</f>
        <v>L1-3</v>
      </c>
      <c r="AM37" t="str">
        <f t="shared" si="21"/>
        <v>L2-3</v>
      </c>
      <c r="AN37" t="str">
        <f t="shared" si="21"/>
        <v>L2-4</v>
      </c>
      <c r="AO37" t="str">
        <f t="shared" si="21"/>
        <v>L3-4</v>
      </c>
    </row>
    <row r="38" spans="1:41" x14ac:dyDescent="0.3">
      <c r="AA38" t="str">
        <f>AA30</f>
        <v>t0</v>
      </c>
      <c r="AB38" s="1">
        <f>(AB30/AB21)-1</f>
        <v>0</v>
      </c>
      <c r="AC38" s="1">
        <f t="shared" ref="AC38:AG38" si="22">(AC30/AC21)-1</f>
        <v>0</v>
      </c>
      <c r="AD38" s="1">
        <f t="shared" si="22"/>
        <v>0</v>
      </c>
      <c r="AE38" s="1">
        <f t="shared" si="22"/>
        <v>0</v>
      </c>
      <c r="AF38" s="1">
        <f t="shared" si="22"/>
        <v>0</v>
      </c>
      <c r="AG38" s="1">
        <v>0</v>
      </c>
      <c r="AJ38" t="str">
        <f>AJ31</f>
        <v>t1</v>
      </c>
      <c r="AK38" s="1">
        <f t="shared" ref="AK38:AO38" si="23">((AK31/150)-(AK21/150))</f>
        <v>6.6666666667103414E-6</v>
      </c>
      <c r="AL38" s="1">
        <f t="shared" si="23"/>
        <v>0</v>
      </c>
      <c r="AM38" s="1">
        <f t="shared" si="23"/>
        <v>0</v>
      </c>
      <c r="AN38" s="1">
        <f t="shared" si="23"/>
        <v>0</v>
      </c>
      <c r="AO38" s="1">
        <f t="shared" si="23"/>
        <v>0</v>
      </c>
    </row>
    <row r="39" spans="1:41" x14ac:dyDescent="0.3">
      <c r="AA39" t="str">
        <f t="shared" ref="AA39:AA44" si="24">AA31</f>
        <v xml:space="preserve">t1       </v>
      </c>
      <c r="AB39" s="1">
        <f t="shared" ref="AB39:AG39" si="25">(AB31/AB22)-1</f>
        <v>0</v>
      </c>
      <c r="AC39" s="1">
        <v>0</v>
      </c>
      <c r="AD39" s="1">
        <f t="shared" si="25"/>
        <v>0</v>
      </c>
      <c r="AE39" s="1">
        <f t="shared" si="25"/>
        <v>0</v>
      </c>
      <c r="AF39" s="1">
        <f t="shared" si="25"/>
        <v>0</v>
      </c>
      <c r="AG39" s="1">
        <v>1</v>
      </c>
      <c r="AJ39" t="str">
        <f t="shared" ref="AJ39:AJ42" si="26">AJ32</f>
        <v>t2</v>
      </c>
      <c r="AK39" s="1">
        <f t="shared" ref="AK39:AO39" si="27">((AK32/150)-(AK22/150))</f>
        <v>0</v>
      </c>
      <c r="AL39" s="1">
        <f t="shared" si="27"/>
        <v>0</v>
      </c>
      <c r="AM39" s="1">
        <f t="shared" si="27"/>
        <v>0</v>
      </c>
      <c r="AN39" s="1">
        <f t="shared" si="27"/>
        <v>0</v>
      </c>
      <c r="AO39" s="1">
        <f t="shared" si="27"/>
        <v>0</v>
      </c>
    </row>
    <row r="40" spans="1:41" x14ac:dyDescent="0.3">
      <c r="AA40" t="str">
        <f t="shared" si="24"/>
        <v xml:space="preserve">t2       </v>
      </c>
      <c r="AB40" s="1">
        <f t="shared" ref="AB40:AG40" si="28">(AB32/AB23)-1</f>
        <v>0</v>
      </c>
      <c r="AC40" s="1">
        <v>0</v>
      </c>
      <c r="AD40" s="1">
        <f t="shared" si="28"/>
        <v>0</v>
      </c>
      <c r="AE40" s="1">
        <f t="shared" si="28"/>
        <v>0</v>
      </c>
      <c r="AF40" s="1">
        <f t="shared" si="28"/>
        <v>0</v>
      </c>
      <c r="AG40" s="1">
        <v>1</v>
      </c>
      <c r="AJ40" t="str">
        <f t="shared" si="26"/>
        <v>t3</v>
      </c>
      <c r="AK40" s="1">
        <f t="shared" ref="AK40:AO40" si="29">((AK33/150)-(AK23/150))</f>
        <v>0</v>
      </c>
      <c r="AL40" s="1">
        <f t="shared" si="29"/>
        <v>0</v>
      </c>
      <c r="AM40" s="1">
        <f t="shared" si="29"/>
        <v>0</v>
      </c>
      <c r="AN40" s="1">
        <f t="shared" si="29"/>
        <v>0</v>
      </c>
      <c r="AO40" s="1">
        <f t="shared" si="29"/>
        <v>0</v>
      </c>
    </row>
    <row r="41" spans="1:41" x14ac:dyDescent="0.3">
      <c r="AA41" t="str">
        <f t="shared" si="24"/>
        <v xml:space="preserve">t3      </v>
      </c>
      <c r="AB41" s="1">
        <f t="shared" ref="AB41:AG41" si="30">(AB33/AB24)-1</f>
        <v>0</v>
      </c>
      <c r="AC41" s="1">
        <v>0</v>
      </c>
      <c r="AD41" s="1">
        <f t="shared" si="30"/>
        <v>0</v>
      </c>
      <c r="AE41" s="1">
        <f t="shared" si="30"/>
        <v>0</v>
      </c>
      <c r="AF41" s="1">
        <f t="shared" si="30"/>
        <v>0</v>
      </c>
      <c r="AG41" s="1">
        <v>1</v>
      </c>
      <c r="AJ41" t="str">
        <f t="shared" si="26"/>
        <v>t4</v>
      </c>
      <c r="AK41" s="1">
        <f t="shared" ref="AK41:AO41" si="31">((AK34/150)-(AK24/150))</f>
        <v>0.13136000000000003</v>
      </c>
      <c r="AL41" s="1">
        <f t="shared" si="31"/>
        <v>0</v>
      </c>
      <c r="AM41" s="1">
        <f t="shared" si="31"/>
        <v>9.5239999999999991E-2</v>
      </c>
      <c r="AN41" s="1">
        <f t="shared" si="31"/>
        <v>3.8093333333333312E-2</v>
      </c>
      <c r="AO41" s="1">
        <f t="shared" si="31"/>
        <v>-3.8093333333333312E-2</v>
      </c>
    </row>
    <row r="42" spans="1:41" x14ac:dyDescent="0.3">
      <c r="AA42" t="str">
        <f t="shared" si="24"/>
        <v xml:space="preserve">t4      </v>
      </c>
      <c r="AB42" s="1">
        <f t="shared" ref="AB42:AG42" si="32">(AB34/AB25)-1</f>
        <v>7.1355626534558736E-2</v>
      </c>
      <c r="AC42" s="1">
        <v>0</v>
      </c>
      <c r="AD42" s="1">
        <f t="shared" si="32"/>
        <v>-0.51656215034737585</v>
      </c>
      <c r="AE42" s="1">
        <f t="shared" si="32"/>
        <v>0</v>
      </c>
      <c r="AF42" s="1">
        <f t="shared" si="32"/>
        <v>0</v>
      </c>
      <c r="AG42" s="1">
        <v>1</v>
      </c>
      <c r="AJ42" t="str">
        <f t="shared" si="26"/>
        <v>t5</v>
      </c>
      <c r="AK42" s="1">
        <f t="shared" ref="AK42:AO42" si="33">((AK35/150)-(AK25/150))</f>
        <v>1.3506666666666778E-2</v>
      </c>
      <c r="AL42" s="1">
        <f t="shared" si="33"/>
        <v>0</v>
      </c>
      <c r="AM42" s="1">
        <f t="shared" si="33"/>
        <v>9.7933333333333206E-3</v>
      </c>
      <c r="AN42" s="1">
        <f t="shared" si="33"/>
        <v>3.9133333333333797E-3</v>
      </c>
      <c r="AO42" s="1">
        <f t="shared" si="33"/>
        <v>-3.913333333333352E-3</v>
      </c>
    </row>
    <row r="43" spans="1:41" x14ac:dyDescent="0.3">
      <c r="AA43" t="str">
        <f t="shared" si="24"/>
        <v xml:space="preserve">t5      </v>
      </c>
      <c r="AB43" s="1">
        <f t="shared" ref="AB43:AG43" si="34">(AB35/AB26)-1</f>
        <v>6.7992509413572488E-3</v>
      </c>
      <c r="AC43" s="1">
        <v>0</v>
      </c>
      <c r="AD43" s="1">
        <f t="shared" si="34"/>
        <v>-7.1787837219935979E-2</v>
      </c>
      <c r="AE43" s="1">
        <f t="shared" si="34"/>
        <v>0</v>
      </c>
      <c r="AF43" s="1">
        <f t="shared" si="34"/>
        <v>0</v>
      </c>
      <c r="AG43" s="1">
        <v>1</v>
      </c>
    </row>
    <row r="46" spans="1:41" x14ac:dyDescent="0.3">
      <c r="C46" t="s">
        <v>11</v>
      </c>
      <c r="D46" t="s">
        <v>17</v>
      </c>
      <c r="E46" t="s">
        <v>18</v>
      </c>
      <c r="H46" t="str">
        <f>B47</f>
        <v>bus1</v>
      </c>
      <c r="I46" t="str">
        <f>B48</f>
        <v>bus2</v>
      </c>
      <c r="J46" t="str">
        <f>B49</f>
        <v>bus3</v>
      </c>
      <c r="K46" t="str">
        <f>B54</f>
        <v>bus4</v>
      </c>
    </row>
    <row r="47" spans="1:41" x14ac:dyDescent="0.3">
      <c r="A47" t="s">
        <v>12</v>
      </c>
      <c r="B47" t="s">
        <v>1</v>
      </c>
      <c r="C47">
        <v>3315</v>
      </c>
      <c r="D47">
        <v>3315</v>
      </c>
      <c r="E47" s="1">
        <f>((D47/C47)-1)</f>
        <v>0</v>
      </c>
      <c r="G47" t="s">
        <v>12</v>
      </c>
      <c r="H47" s="2">
        <f>E47</f>
        <v>0</v>
      </c>
      <c r="I47" s="2">
        <f>E48</f>
        <v>0</v>
      </c>
      <c r="J47" s="2">
        <f>E49</f>
        <v>2.6119402985074647E-2</v>
      </c>
      <c r="K47" s="2">
        <f>E50</f>
        <v>0</v>
      </c>
    </row>
    <row r="48" spans="1:41" x14ac:dyDescent="0.3">
      <c r="B48" t="s">
        <v>2</v>
      </c>
      <c r="C48">
        <v>12375</v>
      </c>
      <c r="D48">
        <v>12375</v>
      </c>
      <c r="E48" s="1">
        <f t="shared" ref="E48:E66" si="35">((D48/C48)-1)</f>
        <v>0</v>
      </c>
      <c r="G48" t="s">
        <v>13</v>
      </c>
      <c r="H48" s="2">
        <f>E51</f>
        <v>0</v>
      </c>
      <c r="I48" s="2">
        <f>E52</f>
        <v>0</v>
      </c>
      <c r="J48" s="2">
        <f>E53</f>
        <v>6.5298507462686617E-2</v>
      </c>
      <c r="K48" s="2">
        <f>E54</f>
        <v>0</v>
      </c>
    </row>
    <row r="49" spans="1:11" x14ac:dyDescent="0.3">
      <c r="B49" t="s">
        <v>3</v>
      </c>
      <c r="C49">
        <v>6700</v>
      </c>
      <c r="D49">
        <v>6875</v>
      </c>
      <c r="E49" s="1">
        <f t="shared" si="35"/>
        <v>2.6119402985074647E-2</v>
      </c>
      <c r="G49" t="s">
        <v>14</v>
      </c>
      <c r="H49" s="2">
        <f>E55</f>
        <v>0</v>
      </c>
      <c r="I49" s="2">
        <f>E56</f>
        <v>0</v>
      </c>
      <c r="J49" s="2">
        <f>E57</f>
        <v>0.1628555679901118</v>
      </c>
      <c r="K49" s="2">
        <f>E58</f>
        <v>0</v>
      </c>
    </row>
    <row r="50" spans="1:11" x14ac:dyDescent="0.3">
      <c r="B50" t="s">
        <v>4</v>
      </c>
      <c r="C50">
        <v>500</v>
      </c>
      <c r="D50">
        <v>500</v>
      </c>
      <c r="E50" s="1">
        <f t="shared" si="35"/>
        <v>0</v>
      </c>
      <c r="G50" t="s">
        <v>15</v>
      </c>
      <c r="H50" s="2">
        <f>E59</f>
        <v>-0.19830927723178093</v>
      </c>
      <c r="I50" s="2">
        <f>E60</f>
        <v>-0.27146575969147813</v>
      </c>
      <c r="J50" s="2">
        <f>E61</f>
        <v>8.9248469663630869E-2</v>
      </c>
      <c r="K50" s="2">
        <f>E62</f>
        <v>-8.3124193627350351E-2</v>
      </c>
    </row>
    <row r="51" spans="1:11" x14ac:dyDescent="0.3">
      <c r="A51" t="s">
        <v>13</v>
      </c>
      <c r="B51" t="s">
        <v>1</v>
      </c>
      <c r="C51">
        <v>239</v>
      </c>
      <c r="D51">
        <v>239</v>
      </c>
      <c r="E51" s="1">
        <f t="shared" si="35"/>
        <v>0</v>
      </c>
      <c r="G51" t="s">
        <v>16</v>
      </c>
      <c r="H51" s="2">
        <f>E63</f>
        <v>1.7098458608052924E-2</v>
      </c>
      <c r="I51" s="2">
        <f>E64</f>
        <v>-1.9195057990741948E-2</v>
      </c>
      <c r="J51" s="2">
        <f>E65</f>
        <v>3.3296808054401383E-2</v>
      </c>
      <c r="K51" s="2">
        <f>E66</f>
        <v>2.224148415731042E-2</v>
      </c>
    </row>
    <row r="52" spans="1:11" x14ac:dyDescent="0.3">
      <c r="B52" t="s">
        <v>2</v>
      </c>
      <c r="C52">
        <v>5003</v>
      </c>
      <c r="D52">
        <v>5003</v>
      </c>
      <c r="E52" s="1">
        <f t="shared" si="35"/>
        <v>0</v>
      </c>
    </row>
    <row r="53" spans="1:11" x14ac:dyDescent="0.3">
      <c r="B53" t="s">
        <v>3</v>
      </c>
      <c r="C53">
        <v>3216</v>
      </c>
      <c r="D53">
        <v>3426</v>
      </c>
      <c r="E53" s="1">
        <f t="shared" si="35"/>
        <v>6.5298507462686617E-2</v>
      </c>
    </row>
    <row r="54" spans="1:11" x14ac:dyDescent="0.3">
      <c r="B54" t="s">
        <v>4</v>
      </c>
      <c r="C54">
        <v>-450</v>
      </c>
      <c r="D54">
        <v>-450</v>
      </c>
      <c r="E54" s="1">
        <f t="shared" si="35"/>
        <v>0</v>
      </c>
    </row>
    <row r="55" spans="1:11" x14ac:dyDescent="0.3">
      <c r="A55" t="s">
        <v>14</v>
      </c>
      <c r="B55" t="s">
        <v>1</v>
      </c>
      <c r="C55">
        <v>18284</v>
      </c>
      <c r="D55">
        <v>18284</v>
      </c>
      <c r="E55" s="1">
        <f t="shared" si="35"/>
        <v>0</v>
      </c>
    </row>
    <row r="56" spans="1:11" x14ac:dyDescent="0.3">
      <c r="B56" t="s">
        <v>2</v>
      </c>
      <c r="C56">
        <v>13841.72</v>
      </c>
      <c r="D56">
        <v>13841.72</v>
      </c>
      <c r="E56" s="1">
        <f t="shared" si="35"/>
        <v>0</v>
      </c>
    </row>
    <row r="57" spans="1:11" x14ac:dyDescent="0.3">
      <c r="B57" t="s">
        <v>3</v>
      </c>
      <c r="C57">
        <v>7184.28</v>
      </c>
      <c r="D57">
        <v>8354.2800000000007</v>
      </c>
      <c r="E57" s="1">
        <f t="shared" si="35"/>
        <v>0.1628555679901118</v>
      </c>
    </row>
    <row r="58" spans="1:11" x14ac:dyDescent="0.3">
      <c r="B58" t="s">
        <v>4</v>
      </c>
      <c r="C58">
        <v>5686.8</v>
      </c>
      <c r="D58">
        <v>5686.8</v>
      </c>
      <c r="E58" s="1">
        <f t="shared" si="35"/>
        <v>0</v>
      </c>
    </row>
    <row r="59" spans="1:11" x14ac:dyDescent="0.3">
      <c r="A59" t="s">
        <v>15</v>
      </c>
      <c r="B59" t="s">
        <v>1</v>
      </c>
      <c r="C59">
        <v>15002.223</v>
      </c>
      <c r="D59">
        <v>12027.143</v>
      </c>
      <c r="E59" s="1">
        <f t="shared" si="35"/>
        <v>-0.19830927723178093</v>
      </c>
    </row>
    <row r="60" spans="1:11" x14ac:dyDescent="0.3">
      <c r="B60" t="s">
        <v>2</v>
      </c>
      <c r="C60">
        <v>32211.392</v>
      </c>
      <c r="D60">
        <v>23467.101999999999</v>
      </c>
      <c r="E60" s="1">
        <f t="shared" si="35"/>
        <v>-0.27146575969147813</v>
      </c>
    </row>
    <row r="61" spans="1:11" x14ac:dyDescent="0.3">
      <c r="B61" t="s">
        <v>3</v>
      </c>
      <c r="C61">
        <v>14423.463</v>
      </c>
      <c r="D61">
        <v>15710.735000000001</v>
      </c>
      <c r="E61" s="1">
        <f t="shared" si="35"/>
        <v>8.9248469663630869E-2</v>
      </c>
    </row>
    <row r="62" spans="1:11" x14ac:dyDescent="0.3">
      <c r="B62" t="s">
        <v>4</v>
      </c>
      <c r="C62">
        <v>4044.346</v>
      </c>
      <c r="D62">
        <v>3708.163</v>
      </c>
      <c r="E62" s="1">
        <f t="shared" si="35"/>
        <v>-8.3124193627350351E-2</v>
      </c>
    </row>
    <row r="63" spans="1:11" x14ac:dyDescent="0.3">
      <c r="A63" t="s">
        <v>16</v>
      </c>
      <c r="B63" t="s">
        <v>1</v>
      </c>
      <c r="C63">
        <v>14494.172</v>
      </c>
      <c r="D63">
        <v>14742</v>
      </c>
      <c r="E63" s="1">
        <f t="shared" si="35"/>
        <v>1.7098458608052924E-2</v>
      </c>
    </row>
    <row r="64" spans="1:11" x14ac:dyDescent="0.3">
      <c r="B64" t="s">
        <v>2</v>
      </c>
      <c r="C64">
        <v>22299.594000000001</v>
      </c>
      <c r="D64">
        <v>21871.552</v>
      </c>
      <c r="E64" s="1">
        <f t="shared" si="35"/>
        <v>-1.9195057990741948E-2</v>
      </c>
    </row>
    <row r="65" spans="2:5" x14ac:dyDescent="0.3">
      <c r="B65" t="s">
        <v>3</v>
      </c>
      <c r="C65">
        <v>12901.566999999999</v>
      </c>
      <c r="D65">
        <v>13331.147999999999</v>
      </c>
      <c r="E65" s="1">
        <f t="shared" si="35"/>
        <v>3.3296808054401383E-2</v>
      </c>
    </row>
    <row r="66" spans="2:5" x14ac:dyDescent="0.3">
      <c r="B66" t="s">
        <v>4</v>
      </c>
      <c r="C66">
        <v>3525.6640000000002</v>
      </c>
      <c r="D66">
        <v>3604.08</v>
      </c>
      <c r="E66" s="1">
        <f t="shared" si="35"/>
        <v>2.224148415731042E-2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Muñoz</dc:creator>
  <cp:lastModifiedBy>Javier Muñoz</cp:lastModifiedBy>
  <dcterms:created xsi:type="dcterms:W3CDTF">2024-06-23T11:39:48Z</dcterms:created>
  <dcterms:modified xsi:type="dcterms:W3CDTF">2024-06-24T22:06:44Z</dcterms:modified>
</cp:coreProperties>
</file>